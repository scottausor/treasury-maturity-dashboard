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ecurities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"/>
    <numFmt numFmtId="165" formatCode="&quot;$&quot;#,##0"/>
    <numFmt numFmtId="166" formatCode="0.000%"/>
    <numFmt numFmtId="167" formatCode="&quot;$&quot;#,##0.0;&quot;-&quot;"/>
    <numFmt numFmtId="168" formatCode="&quot;$&quot;#,##0.00"/>
  </numFmts>
  <fonts count="7">
    <font>
      <name val="Calibri"/>
      <family val="2"/>
      <color theme="1"/>
      <sz val="11"/>
      <scheme val="minor"/>
    </font>
    <font>
      <name val="Arial"/>
      <b val="1"/>
      <color rgb="00E6EDF3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i val="1"/>
      <color rgb="009CA3AF"/>
      <sz val="9"/>
    </font>
    <font>
      <name val="Arial"/>
      <color rgb="006B7280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166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164" fontId="3" fillId="3" borderId="0" applyAlignment="1" pivotButton="0" quotePrefix="0" xfId="0">
      <alignment horizontal="right"/>
    </xf>
    <xf numFmtId="0" fontId="2" fillId="4" borderId="0" applyAlignment="1" pivotButton="0" quotePrefix="0" xfId="0">
      <alignment horizontal="center"/>
    </xf>
    <xf numFmtId="166" fontId="2" fillId="4" borderId="0" applyAlignment="1" pivotButton="0" quotePrefix="0" xfId="0">
      <alignment horizontal="right"/>
    </xf>
    <xf numFmtId="165" fontId="2" fillId="4" borderId="0" applyAlignment="1" pivotButton="0" quotePrefix="0" xfId="0">
      <alignment horizontal="right"/>
    </xf>
    <xf numFmtId="164" fontId="3" fillId="4" borderId="0" applyAlignment="1" pivotButton="0" quotePrefix="0" xfId="0">
      <alignment horizontal="right"/>
    </xf>
    <xf numFmtId="0" fontId="2" fillId="5" borderId="0" applyAlignment="1" pivotButton="0" quotePrefix="0" xfId="0">
      <alignment horizontal="center"/>
    </xf>
    <xf numFmtId="166" fontId="2" fillId="5" borderId="0" applyAlignment="1" pivotButton="0" quotePrefix="0" xfId="0">
      <alignment horizontal="right"/>
    </xf>
    <xf numFmtId="165" fontId="2" fillId="5" borderId="0" applyAlignment="1" pivotButton="0" quotePrefix="0" xfId="0">
      <alignment horizontal="right"/>
    </xf>
    <xf numFmtId="164" fontId="3" fillId="5" borderId="0" applyAlignment="1" pivotButton="0" quotePrefix="0" xfId="0">
      <alignment horizontal="right"/>
    </xf>
    <xf numFmtId="0" fontId="2" fillId="6" borderId="0" applyAlignment="1" pivotButton="0" quotePrefix="0" xfId="0">
      <alignment horizontal="center"/>
    </xf>
    <xf numFmtId="166" fontId="2" fillId="6" borderId="0" applyAlignment="1" pivotButton="0" quotePrefix="0" xfId="0">
      <alignment horizontal="right"/>
    </xf>
    <xf numFmtId="165" fontId="2" fillId="6" borderId="0" applyAlignment="1" pivotButton="0" quotePrefix="0" xfId="0">
      <alignment horizontal="right"/>
    </xf>
    <xf numFmtId="164" fontId="3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center"/>
    </xf>
    <xf numFmtId="166" fontId="2" fillId="7" borderId="0" applyAlignment="1" pivotButton="0" quotePrefix="0" xfId="0">
      <alignment horizontal="right"/>
    </xf>
    <xf numFmtId="165" fontId="2" fillId="7" borderId="0" applyAlignment="1" pivotButton="0" quotePrefix="0" xfId="0">
      <alignment horizontal="right"/>
    </xf>
    <xf numFmtId="164" fontId="3" fillId="7" borderId="0" applyAlignment="1" pivotButton="0" quotePrefix="0" xfId="0">
      <alignment horizontal="right"/>
    </xf>
    <xf numFmtId="0" fontId="1" fillId="2" borderId="0" pivotButton="0" quotePrefix="0" xfId="0"/>
    <xf numFmtId="165" fontId="1" fillId="2" borderId="0" applyAlignment="1" pivotButton="0" quotePrefix="0" xfId="0">
      <alignment horizontal="right"/>
    </xf>
    <xf numFmtId="164" fontId="1" fillId="2" borderId="0" applyAlignment="1" pivotButton="0" quotePrefix="0" xfId="0">
      <alignment horizontal="right"/>
    </xf>
    <xf numFmtId="0" fontId="5" fillId="0" borderId="0" pivotButton="0" quotePrefix="0" xfId="0"/>
    <xf numFmtId="0" fontId="2" fillId="8" borderId="0" applyAlignment="1" pivotButton="0" quotePrefix="0" xfId="0">
      <alignment horizontal="center"/>
    </xf>
    <xf numFmtId="167" fontId="2" fillId="8" borderId="0" applyAlignment="1" pivotButton="0" quotePrefix="0" xfId="0">
      <alignment horizontal="right"/>
    </xf>
    <xf numFmtId="164" fontId="3" fillId="8" borderId="0" applyAlignment="1" pivotButton="0" quotePrefix="0" xfId="0">
      <alignment horizontal="right"/>
    </xf>
    <xf numFmtId="0" fontId="4" fillId="0" borderId="0" pivotButton="0" quotePrefix="0" xfId="0"/>
    <xf numFmtId="0" fontId="2" fillId="9" borderId="0" applyAlignment="1" pivotButton="0" quotePrefix="0" xfId="0">
      <alignment horizontal="center"/>
    </xf>
    <xf numFmtId="167" fontId="2" fillId="9" borderId="0" applyAlignment="1" pivotButton="0" quotePrefix="0" xfId="0">
      <alignment horizontal="right"/>
    </xf>
    <xf numFmtId="164" fontId="3" fillId="9" borderId="0" applyAlignment="1" pivotButton="0" quotePrefix="0" xfId="0">
      <alignment horizontal="right"/>
    </xf>
    <xf numFmtId="0" fontId="6" fillId="0" borderId="0" pivotButton="0" quotePrefix="0" xfId="0"/>
    <xf numFmtId="168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0" customHeight="1">
      <c r="A1" s="1" t="inlineStr">
        <is>
          <t>Type</t>
        </is>
      </c>
      <c r="B1" s="1" t="inlineStr">
        <is>
          <t>Interest Rate (%)</t>
        </is>
      </c>
      <c r="C1" s="1" t="inlineStr">
        <is>
          <t>Issue Date</t>
        </is>
      </c>
      <c r="D1" s="1" t="inlineStr">
        <is>
          <t>Maturity Date</t>
        </is>
      </c>
      <c r="E1" s="1" t="inlineStr">
        <is>
          <t>Amount ($M)</t>
        </is>
      </c>
      <c r="F1" s="1" t="inlineStr">
        <is>
          <t>Amount ($B)</t>
        </is>
      </c>
    </row>
    <row r="2">
      <c r="A2" s="2" t="inlineStr">
        <is>
          <t>BILL</t>
        </is>
      </c>
      <c r="B2" s="3" t="n">
        <v>1.575</v>
      </c>
      <c r="C2" s="2" t="inlineStr">
        <is>
          <t>2023-03-01</t>
        </is>
      </c>
      <c r="D2" s="2" t="inlineStr">
        <is>
          <t>2026-03-15</t>
        </is>
      </c>
      <c r="E2" s="4" t="n">
        <v>680000</v>
      </c>
      <c r="F2" s="5">
        <f>E2/1000</f>
        <v/>
      </c>
    </row>
    <row r="3">
      <c r="A3" s="6" t="inlineStr">
        <is>
          <t>BOND</t>
        </is>
      </c>
      <c r="B3" s="7" t="n">
        <v>2.325</v>
      </c>
      <c r="C3" s="6" t="inlineStr">
        <is>
          <t>2023-03-01</t>
        </is>
      </c>
      <c r="D3" s="6" t="inlineStr">
        <is>
          <t>2026-03-15</t>
        </is>
      </c>
      <c r="E3" s="8" t="n">
        <v>28000</v>
      </c>
      <c r="F3" s="9">
        <f>E3/1000</f>
        <v/>
      </c>
    </row>
    <row r="4">
      <c r="A4" s="10" t="inlineStr">
        <is>
          <t>FRN</t>
        </is>
      </c>
      <c r="B4" s="11" t="n">
        <v>3.709</v>
      </c>
      <c r="C4" s="10" t="inlineStr">
        <is>
          <t>2023-03-01</t>
        </is>
      </c>
      <c r="D4" s="10" t="inlineStr">
        <is>
          <t>2026-03-15</t>
        </is>
      </c>
      <c r="E4" s="12" t="n">
        <v>35000</v>
      </c>
      <c r="F4" s="13">
        <f>E4/1000</f>
        <v/>
      </c>
    </row>
    <row r="5">
      <c r="A5" s="14" t="inlineStr">
        <is>
          <t>NOTE</t>
        </is>
      </c>
      <c r="B5" s="15" t="n">
        <v>3.418</v>
      </c>
      <c r="C5" s="14" t="inlineStr">
        <is>
          <t>2023-03-01</t>
        </is>
      </c>
      <c r="D5" s="14" t="inlineStr">
        <is>
          <t>2026-03-15</t>
        </is>
      </c>
      <c r="E5" s="16" t="n">
        <v>450000</v>
      </c>
      <c r="F5" s="17">
        <f>E5/1000</f>
        <v/>
      </c>
    </row>
    <row r="6">
      <c r="A6" s="18" t="inlineStr">
        <is>
          <t>TIPS</t>
        </is>
      </c>
      <c r="B6" s="19" t="n">
        <v>2.17</v>
      </c>
      <c r="C6" s="18" t="inlineStr">
        <is>
          <t>2023-03-01</t>
        </is>
      </c>
      <c r="D6" s="18" t="inlineStr">
        <is>
          <t>2026-03-15</t>
        </is>
      </c>
      <c r="E6" s="20" t="n">
        <v>18000</v>
      </c>
      <c r="F6" s="21">
        <f>E6/1000</f>
        <v/>
      </c>
    </row>
    <row r="7">
      <c r="A7" s="2" t="inlineStr">
        <is>
          <t>BILL</t>
        </is>
      </c>
      <c r="B7" s="3" t="n">
        <v>4.177</v>
      </c>
      <c r="C7" s="2" t="inlineStr">
        <is>
          <t>2023-04-01</t>
        </is>
      </c>
      <c r="D7" s="2" t="inlineStr">
        <is>
          <t>2026-04-15</t>
        </is>
      </c>
      <c r="E7" s="4" t="n">
        <v>710000</v>
      </c>
      <c r="F7" s="5">
        <f>E7/1000</f>
        <v/>
      </c>
    </row>
    <row r="8">
      <c r="A8" s="10" t="inlineStr">
        <is>
          <t>FRN</t>
        </is>
      </c>
      <c r="B8" s="11" t="n">
        <v>2.766</v>
      </c>
      <c r="C8" s="10" t="inlineStr">
        <is>
          <t>2023-04-01</t>
        </is>
      </c>
      <c r="D8" s="10" t="inlineStr">
        <is>
          <t>2026-04-15</t>
        </is>
      </c>
      <c r="E8" s="12" t="n">
        <v>40000</v>
      </c>
      <c r="F8" s="13">
        <f>E8/1000</f>
        <v/>
      </c>
    </row>
    <row r="9">
      <c r="A9" s="14" t="inlineStr">
        <is>
          <t>NOTE</t>
        </is>
      </c>
      <c r="B9" s="15" t="n">
        <v>3.53</v>
      </c>
      <c r="C9" s="14" t="inlineStr">
        <is>
          <t>2023-04-01</t>
        </is>
      </c>
      <c r="D9" s="14" t="inlineStr">
        <is>
          <t>2026-04-15</t>
        </is>
      </c>
      <c r="E9" s="16" t="n">
        <v>520000</v>
      </c>
      <c r="F9" s="17">
        <f>E9/1000</f>
        <v/>
      </c>
    </row>
    <row r="10">
      <c r="A10" s="18" t="inlineStr">
        <is>
          <t>TIPS</t>
        </is>
      </c>
      <c r="B10" s="19" t="n">
        <v>1.761</v>
      </c>
      <c r="C10" s="18" t="inlineStr">
        <is>
          <t>2023-04-01</t>
        </is>
      </c>
      <c r="D10" s="18" t="inlineStr">
        <is>
          <t>2026-04-15</t>
        </is>
      </c>
      <c r="E10" s="20" t="n">
        <v>22000</v>
      </c>
      <c r="F10" s="21">
        <f>E10/1000</f>
        <v/>
      </c>
    </row>
    <row r="11">
      <c r="A11" s="2" t="inlineStr">
        <is>
          <t>BILL</t>
        </is>
      </c>
      <c r="B11" s="3" t="n">
        <v>2.156</v>
      </c>
      <c r="C11" s="2" t="inlineStr">
        <is>
          <t>2023-05-01</t>
        </is>
      </c>
      <c r="D11" s="2" t="inlineStr">
        <is>
          <t>2026-05-15</t>
        </is>
      </c>
      <c r="E11" s="4" t="n">
        <v>690000</v>
      </c>
      <c r="F11" s="5">
        <f>E11/1000</f>
        <v/>
      </c>
    </row>
    <row r="12">
      <c r="A12" s="6" t="inlineStr">
        <is>
          <t>BOND</t>
        </is>
      </c>
      <c r="B12" s="7" t="n">
        <v>3.016</v>
      </c>
      <c r="C12" s="6" t="inlineStr">
        <is>
          <t>2023-05-01</t>
        </is>
      </c>
      <c r="D12" s="6" t="inlineStr">
        <is>
          <t>2026-05-15</t>
        </is>
      </c>
      <c r="E12" s="8" t="n">
        <v>32000</v>
      </c>
      <c r="F12" s="9">
        <f>E12/1000</f>
        <v/>
      </c>
    </row>
    <row r="13">
      <c r="A13" s="10" t="inlineStr">
        <is>
          <t>FRN</t>
        </is>
      </c>
      <c r="B13" s="11" t="n">
        <v>2.097</v>
      </c>
      <c r="C13" s="10" t="inlineStr">
        <is>
          <t>2023-05-01</t>
        </is>
      </c>
      <c r="D13" s="10" t="inlineStr">
        <is>
          <t>2026-05-15</t>
        </is>
      </c>
      <c r="E13" s="12" t="n">
        <v>38000</v>
      </c>
      <c r="F13" s="13">
        <f>E13/1000</f>
        <v/>
      </c>
    </row>
    <row r="14">
      <c r="A14" s="14" t="inlineStr">
        <is>
          <t>NOTE</t>
        </is>
      </c>
      <c r="B14" s="15" t="n">
        <v>1.589</v>
      </c>
      <c r="C14" s="14" t="inlineStr">
        <is>
          <t>2023-05-01</t>
        </is>
      </c>
      <c r="D14" s="14" t="inlineStr">
        <is>
          <t>2026-05-15</t>
        </is>
      </c>
      <c r="E14" s="16" t="n">
        <v>380000</v>
      </c>
      <c r="F14" s="17">
        <f>E14/1000</f>
        <v/>
      </c>
    </row>
    <row r="15">
      <c r="A15" s="18" t="inlineStr">
        <is>
          <t>TIPS</t>
        </is>
      </c>
      <c r="B15" s="19" t="n">
        <v>1.58</v>
      </c>
      <c r="C15" s="18" t="inlineStr">
        <is>
          <t>2023-05-01</t>
        </is>
      </c>
      <c r="D15" s="18" t="inlineStr">
        <is>
          <t>2026-05-15</t>
        </is>
      </c>
      <c r="E15" s="20" t="n">
        <v>15000</v>
      </c>
      <c r="F15" s="21">
        <f>E15/1000</f>
        <v/>
      </c>
    </row>
    <row r="16">
      <c r="A16" s="2" t="inlineStr">
        <is>
          <t>BILL</t>
        </is>
      </c>
      <c r="B16" s="3" t="n">
        <v>3.135</v>
      </c>
      <c r="C16" s="2" t="inlineStr">
        <is>
          <t>2023-06-01</t>
        </is>
      </c>
      <c r="D16" s="2" t="inlineStr">
        <is>
          <t>2026-06-15</t>
        </is>
      </c>
      <c r="E16" s="4" t="n">
        <v>720000</v>
      </c>
      <c r="F16" s="5">
        <f>E16/1000</f>
        <v/>
      </c>
    </row>
    <row r="17">
      <c r="A17" s="10" t="inlineStr">
        <is>
          <t>FRN</t>
        </is>
      </c>
      <c r="B17" s="11" t="n">
        <v>3.268</v>
      </c>
      <c r="C17" s="10" t="inlineStr">
        <is>
          <t>2023-06-01</t>
        </is>
      </c>
      <c r="D17" s="10" t="inlineStr">
        <is>
          <t>2026-06-15</t>
        </is>
      </c>
      <c r="E17" s="12" t="n">
        <v>42000</v>
      </c>
      <c r="F17" s="13">
        <f>E17/1000</f>
        <v/>
      </c>
    </row>
    <row r="18">
      <c r="A18" s="14" t="inlineStr">
        <is>
          <t>NOTE</t>
        </is>
      </c>
      <c r="B18" s="15" t="n">
        <v>3.45</v>
      </c>
      <c r="C18" s="14" t="inlineStr">
        <is>
          <t>2023-06-01</t>
        </is>
      </c>
      <c r="D18" s="14" t="inlineStr">
        <is>
          <t>2026-06-15</t>
        </is>
      </c>
      <c r="E18" s="16" t="n">
        <v>610000</v>
      </c>
      <c r="F18" s="17">
        <f>E18/1000</f>
        <v/>
      </c>
    </row>
    <row r="19">
      <c r="A19" s="18" t="inlineStr">
        <is>
          <t>TIPS</t>
        </is>
      </c>
      <c r="B19" s="19" t="n">
        <v>2.161</v>
      </c>
      <c r="C19" s="18" t="inlineStr">
        <is>
          <t>2023-06-01</t>
        </is>
      </c>
      <c r="D19" s="18" t="inlineStr">
        <is>
          <t>2026-06-15</t>
        </is>
      </c>
      <c r="E19" s="20" t="n">
        <v>25000</v>
      </c>
      <c r="F19" s="21">
        <f>E19/1000</f>
        <v/>
      </c>
    </row>
    <row r="20">
      <c r="A20" s="2" t="inlineStr">
        <is>
          <t>BILL</t>
        </is>
      </c>
      <c r="B20" s="3" t="n">
        <v>1.519</v>
      </c>
      <c r="C20" s="2" t="inlineStr">
        <is>
          <t>2023-07-01</t>
        </is>
      </c>
      <c r="D20" s="2" t="inlineStr">
        <is>
          <t>2026-07-15</t>
        </is>
      </c>
      <c r="E20" s="4" t="n">
        <v>695000</v>
      </c>
      <c r="F20" s="5">
        <f>E20/1000</f>
        <v/>
      </c>
    </row>
    <row r="21">
      <c r="A21" s="6" t="inlineStr">
        <is>
          <t>BOND</t>
        </is>
      </c>
      <c r="B21" s="7" t="n">
        <v>3.917</v>
      </c>
      <c r="C21" s="6" t="inlineStr">
        <is>
          <t>2023-07-01</t>
        </is>
      </c>
      <c r="D21" s="6" t="inlineStr">
        <is>
          <t>2026-07-15</t>
        </is>
      </c>
      <c r="E21" s="8" t="n">
        <v>24000</v>
      </c>
      <c r="F21" s="9">
        <f>E21/1000</f>
        <v/>
      </c>
    </row>
    <row r="22">
      <c r="A22" s="10" t="inlineStr">
        <is>
          <t>FRN</t>
        </is>
      </c>
      <c r="B22" s="11" t="n">
        <v>2.521</v>
      </c>
      <c r="C22" s="10" t="inlineStr">
        <is>
          <t>2023-07-01</t>
        </is>
      </c>
      <c r="D22" s="10" t="inlineStr">
        <is>
          <t>2026-07-15</t>
        </is>
      </c>
      <c r="E22" s="12" t="n">
        <v>36000</v>
      </c>
      <c r="F22" s="13">
        <f>E22/1000</f>
        <v/>
      </c>
    </row>
    <row r="23">
      <c r="A23" s="14" t="inlineStr">
        <is>
          <t>NOTE</t>
        </is>
      </c>
      <c r="B23" s="15" t="n">
        <v>3.928</v>
      </c>
      <c r="C23" s="14" t="inlineStr">
        <is>
          <t>2023-07-01</t>
        </is>
      </c>
      <c r="D23" s="14" t="inlineStr">
        <is>
          <t>2026-07-15</t>
        </is>
      </c>
      <c r="E23" s="16" t="n">
        <v>490000</v>
      </c>
      <c r="F23" s="17">
        <f>E23/1000</f>
        <v/>
      </c>
    </row>
    <row r="24">
      <c r="A24" s="18" t="inlineStr">
        <is>
          <t>TIPS</t>
        </is>
      </c>
      <c r="B24" s="19" t="n">
        <v>3.594</v>
      </c>
      <c r="C24" s="18" t="inlineStr">
        <is>
          <t>2023-07-01</t>
        </is>
      </c>
      <c r="D24" s="18" t="inlineStr">
        <is>
          <t>2026-07-15</t>
        </is>
      </c>
      <c r="E24" s="20" t="n">
        <v>20000</v>
      </c>
      <c r="F24" s="21">
        <f>E24/1000</f>
        <v/>
      </c>
    </row>
    <row r="25">
      <c r="A25" s="2" t="inlineStr">
        <is>
          <t>BILL</t>
        </is>
      </c>
      <c r="B25" s="3" t="n">
        <v>4.372</v>
      </c>
      <c r="C25" s="2" t="inlineStr">
        <is>
          <t>2023-08-01</t>
        </is>
      </c>
      <c r="D25" s="2" t="inlineStr">
        <is>
          <t>2026-08-15</t>
        </is>
      </c>
      <c r="E25" s="4" t="n">
        <v>705000</v>
      </c>
      <c r="F25" s="5">
        <f>E25/1000</f>
        <v/>
      </c>
    </row>
    <row r="26">
      <c r="A26" s="10" t="inlineStr">
        <is>
          <t>FRN</t>
        </is>
      </c>
      <c r="B26" s="11" t="n">
        <v>1.778</v>
      </c>
      <c r="C26" s="10" t="inlineStr">
        <is>
          <t>2023-08-01</t>
        </is>
      </c>
      <c r="D26" s="10" t="inlineStr">
        <is>
          <t>2026-08-15</t>
        </is>
      </c>
      <c r="E26" s="12" t="n">
        <v>39000</v>
      </c>
      <c r="F26" s="13">
        <f>E26/1000</f>
        <v/>
      </c>
    </row>
    <row r="27">
      <c r="A27" s="14" t="inlineStr">
        <is>
          <t>NOTE</t>
        </is>
      </c>
      <c r="B27" s="15" t="n">
        <v>1.966</v>
      </c>
      <c r="C27" s="14" t="inlineStr">
        <is>
          <t>2023-08-01</t>
        </is>
      </c>
      <c r="D27" s="14" t="inlineStr">
        <is>
          <t>2026-08-15</t>
        </is>
      </c>
      <c r="E27" s="16" t="n">
        <v>420000</v>
      </c>
      <c r="F27" s="17">
        <f>E27/1000</f>
        <v/>
      </c>
    </row>
    <row r="28">
      <c r="A28" s="18" t="inlineStr">
        <is>
          <t>TIPS</t>
        </is>
      </c>
      <c r="B28" s="19" t="n">
        <v>2.51</v>
      </c>
      <c r="C28" s="18" t="inlineStr">
        <is>
          <t>2023-08-01</t>
        </is>
      </c>
      <c r="D28" s="18" t="inlineStr">
        <is>
          <t>2026-08-15</t>
        </is>
      </c>
      <c r="E28" s="20" t="n">
        <v>12000</v>
      </c>
      <c r="F28" s="21">
        <f>E28/1000</f>
        <v/>
      </c>
    </row>
    <row r="29">
      <c r="A29" s="2" t="inlineStr">
        <is>
          <t>BILL</t>
        </is>
      </c>
      <c r="B29" s="3" t="n">
        <v>4.042</v>
      </c>
      <c r="C29" s="2" t="inlineStr">
        <is>
          <t>2023-09-01</t>
        </is>
      </c>
      <c r="D29" s="2" t="inlineStr">
        <is>
          <t>2026-09-15</t>
        </is>
      </c>
      <c r="E29" s="4" t="n">
        <v>730000</v>
      </c>
      <c r="F29" s="5">
        <f>E29/1000</f>
        <v/>
      </c>
    </row>
    <row r="30">
      <c r="A30" s="6" t="inlineStr">
        <is>
          <t>BOND</t>
        </is>
      </c>
      <c r="B30" s="7" t="n">
        <v>3.311</v>
      </c>
      <c r="C30" s="6" t="inlineStr">
        <is>
          <t>2023-09-01</t>
        </is>
      </c>
      <c r="D30" s="6" t="inlineStr">
        <is>
          <t>2026-09-15</t>
        </is>
      </c>
      <c r="E30" s="8" t="n">
        <v>30000</v>
      </c>
      <c r="F30" s="9">
        <f>E30/1000</f>
        <v/>
      </c>
    </row>
    <row r="31">
      <c r="A31" s="10" t="inlineStr">
        <is>
          <t>FRN</t>
        </is>
      </c>
      <c r="B31" s="11" t="n">
        <v>3.689</v>
      </c>
      <c r="C31" s="10" t="inlineStr">
        <is>
          <t>2023-09-01</t>
        </is>
      </c>
      <c r="D31" s="10" t="inlineStr">
        <is>
          <t>2026-09-15</t>
        </is>
      </c>
      <c r="E31" s="12" t="n">
        <v>44000</v>
      </c>
      <c r="F31" s="13">
        <f>E31/1000</f>
        <v/>
      </c>
    </row>
    <row r="32">
      <c r="A32" s="14" t="inlineStr">
        <is>
          <t>NOTE</t>
        </is>
      </c>
      <c r="B32" s="15" t="n">
        <v>1.79</v>
      </c>
      <c r="C32" s="14" t="inlineStr">
        <is>
          <t>2023-09-01</t>
        </is>
      </c>
      <c r="D32" s="14" t="inlineStr">
        <is>
          <t>2026-09-15</t>
        </is>
      </c>
      <c r="E32" s="16" t="n">
        <v>570000</v>
      </c>
      <c r="F32" s="17">
        <f>E32/1000</f>
        <v/>
      </c>
    </row>
    <row r="33">
      <c r="A33" s="18" t="inlineStr">
        <is>
          <t>TIPS</t>
        </is>
      </c>
      <c r="B33" s="19" t="n">
        <v>3.921</v>
      </c>
      <c r="C33" s="18" t="inlineStr">
        <is>
          <t>2023-09-01</t>
        </is>
      </c>
      <c r="D33" s="18" t="inlineStr">
        <is>
          <t>2026-09-15</t>
        </is>
      </c>
      <c r="E33" s="20" t="n">
        <v>28000</v>
      </c>
      <c r="F33" s="21">
        <f>E33/1000</f>
        <v/>
      </c>
    </row>
    <row r="34">
      <c r="A34" s="2" t="inlineStr">
        <is>
          <t>BILL</t>
        </is>
      </c>
      <c r="B34" s="3" t="n">
        <v>4.419</v>
      </c>
      <c r="C34" s="2" t="inlineStr">
        <is>
          <t>2023-10-01</t>
        </is>
      </c>
      <c r="D34" s="2" t="inlineStr">
        <is>
          <t>2026-10-15</t>
        </is>
      </c>
      <c r="E34" s="4" t="n">
        <v>680000</v>
      </c>
      <c r="F34" s="5">
        <f>E34/1000</f>
        <v/>
      </c>
    </row>
    <row r="35">
      <c r="A35" s="10" t="inlineStr">
        <is>
          <t>FRN</t>
        </is>
      </c>
      <c r="B35" s="11" t="n">
        <v>3.156</v>
      </c>
      <c r="C35" s="10" t="inlineStr">
        <is>
          <t>2023-10-01</t>
        </is>
      </c>
      <c r="D35" s="10" t="inlineStr">
        <is>
          <t>2026-10-15</t>
        </is>
      </c>
      <c r="E35" s="12" t="n">
        <v>37000</v>
      </c>
      <c r="F35" s="13">
        <f>E35/1000</f>
        <v/>
      </c>
    </row>
    <row r="36">
      <c r="A36" s="14" t="inlineStr">
        <is>
          <t>NOTE</t>
        </is>
      </c>
      <c r="B36" s="15" t="n">
        <v>3.109</v>
      </c>
      <c r="C36" s="14" t="inlineStr">
        <is>
          <t>2023-10-01</t>
        </is>
      </c>
      <c r="D36" s="14" t="inlineStr">
        <is>
          <t>2026-10-15</t>
        </is>
      </c>
      <c r="E36" s="16" t="n">
        <v>440000</v>
      </c>
      <c r="F36" s="17">
        <f>E36/1000</f>
        <v/>
      </c>
    </row>
    <row r="37">
      <c r="A37" s="18" t="inlineStr">
        <is>
          <t>TIPS</t>
        </is>
      </c>
      <c r="B37" s="19" t="n">
        <v>2.636</v>
      </c>
      <c r="C37" s="18" t="inlineStr">
        <is>
          <t>2023-10-01</t>
        </is>
      </c>
      <c r="D37" s="18" t="inlineStr">
        <is>
          <t>2026-10-15</t>
        </is>
      </c>
      <c r="E37" s="20" t="n">
        <v>16000</v>
      </c>
      <c r="F37" s="21">
        <f>E37/1000</f>
        <v/>
      </c>
    </row>
    <row r="38">
      <c r="A38" s="2" t="inlineStr">
        <is>
          <t>BILL</t>
        </is>
      </c>
      <c r="B38" s="3" t="n">
        <v>3.356</v>
      </c>
      <c r="C38" s="2" t="inlineStr">
        <is>
          <t>2023-11-01</t>
        </is>
      </c>
      <c r="D38" s="2" t="inlineStr">
        <is>
          <t>2026-11-15</t>
        </is>
      </c>
      <c r="E38" s="4" t="n">
        <v>715000</v>
      </c>
      <c r="F38" s="5">
        <f>E38/1000</f>
        <v/>
      </c>
    </row>
    <row r="39">
      <c r="A39" s="6" t="inlineStr">
        <is>
          <t>BOND</t>
        </is>
      </c>
      <c r="B39" s="7" t="n">
        <v>4.085</v>
      </c>
      <c r="C39" s="6" t="inlineStr">
        <is>
          <t>2023-11-01</t>
        </is>
      </c>
      <c r="D39" s="6" t="inlineStr">
        <is>
          <t>2026-11-15</t>
        </is>
      </c>
      <c r="E39" s="8" t="n">
        <v>26000</v>
      </c>
      <c r="F39" s="9">
        <f>E39/1000</f>
        <v/>
      </c>
    </row>
    <row r="40">
      <c r="A40" s="10" t="inlineStr">
        <is>
          <t>FRN</t>
        </is>
      </c>
      <c r="B40" s="11" t="n">
        <v>3.614</v>
      </c>
      <c r="C40" s="10" t="inlineStr">
        <is>
          <t>2023-11-01</t>
        </is>
      </c>
      <c r="D40" s="10" t="inlineStr">
        <is>
          <t>2026-11-15</t>
        </is>
      </c>
      <c r="E40" s="12" t="n">
        <v>41000</v>
      </c>
      <c r="F40" s="13">
        <f>E40/1000</f>
        <v/>
      </c>
    </row>
    <row r="41">
      <c r="A41" s="14" t="inlineStr">
        <is>
          <t>NOTE</t>
        </is>
      </c>
      <c r="B41" s="15" t="n">
        <v>3.988</v>
      </c>
      <c r="C41" s="14" t="inlineStr">
        <is>
          <t>2023-11-01</t>
        </is>
      </c>
      <c r="D41" s="14" t="inlineStr">
        <is>
          <t>2026-11-15</t>
        </is>
      </c>
      <c r="E41" s="16" t="n">
        <v>510000</v>
      </c>
      <c r="F41" s="17">
        <f>E41/1000</f>
        <v/>
      </c>
    </row>
    <row r="42">
      <c r="A42" s="18" t="inlineStr">
        <is>
          <t>TIPS</t>
        </is>
      </c>
      <c r="B42" s="19" t="n">
        <v>3.232</v>
      </c>
      <c r="C42" s="18" t="inlineStr">
        <is>
          <t>2023-11-01</t>
        </is>
      </c>
      <c r="D42" s="18" t="inlineStr">
        <is>
          <t>2026-11-15</t>
        </is>
      </c>
      <c r="E42" s="20" t="n">
        <v>21000</v>
      </c>
      <c r="F42" s="21">
        <f>E42/1000</f>
        <v/>
      </c>
    </row>
    <row r="43">
      <c r="A43" s="2" t="inlineStr">
        <is>
          <t>BILL</t>
        </is>
      </c>
      <c r="B43" s="3" t="n">
        <v>2.184</v>
      </c>
      <c r="C43" s="2" t="inlineStr">
        <is>
          <t>2023-12-01</t>
        </is>
      </c>
      <c r="D43" s="2" t="inlineStr">
        <is>
          <t>2026-12-15</t>
        </is>
      </c>
      <c r="E43" s="4" t="n">
        <v>760000</v>
      </c>
      <c r="F43" s="5">
        <f>E43/1000</f>
        <v/>
      </c>
    </row>
    <row r="44">
      <c r="A44" s="6" t="inlineStr">
        <is>
          <t>BOND</t>
        </is>
      </c>
      <c r="B44" s="7" t="n">
        <v>2.368</v>
      </c>
      <c r="C44" s="6" t="inlineStr">
        <is>
          <t>2023-12-01</t>
        </is>
      </c>
      <c r="D44" s="6" t="inlineStr">
        <is>
          <t>2026-12-15</t>
        </is>
      </c>
      <c r="E44" s="8" t="n">
        <v>35000</v>
      </c>
      <c r="F44" s="9">
        <f>E44/1000</f>
        <v/>
      </c>
    </row>
    <row r="45">
      <c r="A45" s="10" t="inlineStr">
        <is>
          <t>FRN</t>
        </is>
      </c>
      <c r="B45" s="11" t="n">
        <v>2.198</v>
      </c>
      <c r="C45" s="10" t="inlineStr">
        <is>
          <t>2023-12-01</t>
        </is>
      </c>
      <c r="D45" s="10" t="inlineStr">
        <is>
          <t>2026-12-15</t>
        </is>
      </c>
      <c r="E45" s="12" t="n">
        <v>48000</v>
      </c>
      <c r="F45" s="13">
        <f>E45/1000</f>
        <v/>
      </c>
    </row>
    <row r="46">
      <c r="A46" s="14" t="inlineStr">
        <is>
          <t>NOTE</t>
        </is>
      </c>
      <c r="B46" s="15" t="n">
        <v>1.637</v>
      </c>
      <c r="C46" s="14" t="inlineStr">
        <is>
          <t>2023-12-01</t>
        </is>
      </c>
      <c r="D46" s="14" t="inlineStr">
        <is>
          <t>2026-12-15</t>
        </is>
      </c>
      <c r="E46" s="16" t="n">
        <v>680000</v>
      </c>
      <c r="F46" s="17">
        <f>E46/1000</f>
        <v/>
      </c>
    </row>
    <row r="47">
      <c r="A47" s="18" t="inlineStr">
        <is>
          <t>TIPS</t>
        </is>
      </c>
      <c r="B47" s="19" t="n">
        <v>1.739</v>
      </c>
      <c r="C47" s="18" t="inlineStr">
        <is>
          <t>2023-12-01</t>
        </is>
      </c>
      <c r="D47" s="18" t="inlineStr">
        <is>
          <t>2026-12-15</t>
        </is>
      </c>
      <c r="E47" s="20" t="n">
        <v>30000</v>
      </c>
      <c r="F47" s="21">
        <f>E47/1000</f>
        <v/>
      </c>
    </row>
    <row r="48">
      <c r="A48" s="2" t="inlineStr">
        <is>
          <t>BILL</t>
        </is>
      </c>
      <c r="B48" s="3" t="n">
        <v>2.334</v>
      </c>
      <c r="C48" s="2" t="inlineStr">
        <is>
          <t>2024-01-01</t>
        </is>
      </c>
      <c r="D48" s="2" t="inlineStr">
        <is>
          <t>2027-01-15</t>
        </is>
      </c>
      <c r="E48" s="4" t="n">
        <v>670000</v>
      </c>
      <c r="F48" s="5">
        <f>E48/1000</f>
        <v/>
      </c>
    </row>
    <row r="49">
      <c r="A49" s="10" t="inlineStr">
        <is>
          <t>FRN</t>
        </is>
      </c>
      <c r="B49" s="11" t="n">
        <v>2.594</v>
      </c>
      <c r="C49" s="10" t="inlineStr">
        <is>
          <t>2024-01-01</t>
        </is>
      </c>
      <c r="D49" s="10" t="inlineStr">
        <is>
          <t>2027-01-15</t>
        </is>
      </c>
      <c r="E49" s="12" t="n">
        <v>34000</v>
      </c>
      <c r="F49" s="13">
        <f>E49/1000</f>
        <v/>
      </c>
    </row>
    <row r="50">
      <c r="A50" s="14" t="inlineStr">
        <is>
          <t>NOTE</t>
        </is>
      </c>
      <c r="B50" s="15" t="n">
        <v>1.803</v>
      </c>
      <c r="C50" s="14" t="inlineStr">
        <is>
          <t>2024-01-01</t>
        </is>
      </c>
      <c r="D50" s="14" t="inlineStr">
        <is>
          <t>2027-01-15</t>
        </is>
      </c>
      <c r="E50" s="16" t="n">
        <v>400000</v>
      </c>
      <c r="F50" s="17">
        <f>E50/1000</f>
        <v/>
      </c>
    </row>
    <row r="51">
      <c r="A51" s="18" t="inlineStr">
        <is>
          <t>TIPS</t>
        </is>
      </c>
      <c r="B51" s="19" t="n">
        <v>3.407</v>
      </c>
      <c r="C51" s="18" t="inlineStr">
        <is>
          <t>2024-01-01</t>
        </is>
      </c>
      <c r="D51" s="18" t="inlineStr">
        <is>
          <t>2027-01-15</t>
        </is>
      </c>
      <c r="E51" s="20" t="n">
        <v>14000</v>
      </c>
      <c r="F51" s="21">
        <f>E51/1000</f>
        <v/>
      </c>
    </row>
    <row r="52">
      <c r="A52" s="2" t="inlineStr">
        <is>
          <t>BILL</t>
        </is>
      </c>
      <c r="B52" s="3" t="n">
        <v>2.129</v>
      </c>
      <c r="C52" s="2" t="inlineStr">
        <is>
          <t>2024-02-01</t>
        </is>
      </c>
      <c r="D52" s="2" t="inlineStr">
        <is>
          <t>2027-02-15</t>
        </is>
      </c>
      <c r="E52" s="4" t="n">
        <v>660000</v>
      </c>
      <c r="F52" s="5">
        <f>E52/1000</f>
        <v/>
      </c>
    </row>
    <row r="53">
      <c r="A53" s="6" t="inlineStr">
        <is>
          <t>BOND</t>
        </is>
      </c>
      <c r="B53" s="7" t="n">
        <v>2.301</v>
      </c>
      <c r="C53" s="6" t="inlineStr">
        <is>
          <t>2024-02-01</t>
        </is>
      </c>
      <c r="D53" s="6" t="inlineStr">
        <is>
          <t>2027-02-15</t>
        </is>
      </c>
      <c r="E53" s="8" t="n">
        <v>22000</v>
      </c>
      <c r="F53" s="9">
        <f>E53/1000</f>
        <v/>
      </c>
    </row>
    <row r="54">
      <c r="A54" s="10" t="inlineStr">
        <is>
          <t>FRN</t>
        </is>
      </c>
      <c r="B54" s="11" t="n">
        <v>3.444</v>
      </c>
      <c r="C54" s="10" t="inlineStr">
        <is>
          <t>2024-02-01</t>
        </is>
      </c>
      <c r="D54" s="10" t="inlineStr">
        <is>
          <t>2027-02-15</t>
        </is>
      </c>
      <c r="E54" s="12" t="n">
        <v>33000</v>
      </c>
      <c r="F54" s="13">
        <f>E54/1000</f>
        <v/>
      </c>
    </row>
    <row r="55">
      <c r="A55" s="14" t="inlineStr">
        <is>
          <t>NOTE</t>
        </is>
      </c>
      <c r="B55" s="15" t="n">
        <v>2.611</v>
      </c>
      <c r="C55" s="14" t="inlineStr">
        <is>
          <t>2024-02-01</t>
        </is>
      </c>
      <c r="D55" s="14" t="inlineStr">
        <is>
          <t>2027-02-15</t>
        </is>
      </c>
      <c r="E55" s="16" t="n">
        <v>390000</v>
      </c>
      <c r="F55" s="17">
        <f>E55/1000</f>
        <v/>
      </c>
    </row>
    <row r="56">
      <c r="A56" s="18" t="inlineStr">
        <is>
          <t>TIPS</t>
        </is>
      </c>
      <c r="B56" s="19" t="n">
        <v>4.31</v>
      </c>
      <c r="C56" s="18" t="inlineStr">
        <is>
          <t>2024-02-01</t>
        </is>
      </c>
      <c r="D56" s="18" t="inlineStr">
        <is>
          <t>2027-02-15</t>
        </is>
      </c>
      <c r="E56" s="20" t="n">
        <v>18000</v>
      </c>
      <c r="F56" s="21">
        <f>E56/1000</f>
        <v/>
      </c>
    </row>
    <row r="57">
      <c r="A57" s="22" t="inlineStr">
        <is>
          <t>TOTAL</t>
        </is>
      </c>
      <c r="B57" s="22" t="n"/>
      <c r="C57" s="22" t="n"/>
      <c r="D57" s="22" t="n"/>
      <c r="E57" s="23">
        <f>SUM(E2:E56)</f>
        <v/>
      </c>
      <c r="F57" s="24">
        <f>SUM(F2:F56)</f>
        <v/>
      </c>
    </row>
    <row r="59">
      <c r="A59" s="25" t="inlineStr">
        <is>
          <t>Source: US Treasury MSPD · Extracted 2026-03-25 · 55 securities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9" max="9"/>
    <col width="14" customWidth="1" min="10" max="10"/>
  </cols>
  <sheetData>
    <row r="1" ht="20" customHeight="1">
      <c r="A1" s="1" t="inlineStr">
        <is>
          <t>Month</t>
        </is>
      </c>
      <c r="B1" s="1" t="inlineStr">
        <is>
          <t>BILL ($B)</t>
        </is>
      </c>
      <c r="C1" s="1" t="inlineStr">
        <is>
          <t>NOTE ($B)</t>
        </is>
      </c>
      <c r="D1" s="1" t="inlineStr">
        <is>
          <t>BOND ($B)</t>
        </is>
      </c>
      <c r="E1" s="1" t="inlineStr">
        <is>
          <t>TIPS ($B)</t>
        </is>
      </c>
      <c r="F1" s="1" t="inlineStr">
        <is>
          <t>FRN ($B)</t>
        </is>
      </c>
      <c r="G1" s="1" t="inlineStr">
        <is>
          <t>TOTAL ($B)</t>
        </is>
      </c>
    </row>
    <row r="2">
      <c r="A2" s="26" t="inlineStr">
        <is>
          <t>2026-04</t>
        </is>
      </c>
      <c r="B2" s="27" t="n">
        <v>710</v>
      </c>
      <c r="C2" s="27" t="n">
        <v>520</v>
      </c>
      <c r="D2" s="27" t="n"/>
      <c r="E2" s="27" t="n">
        <v>22</v>
      </c>
      <c r="F2" s="27" t="n">
        <v>40</v>
      </c>
      <c r="G2" s="28">
        <f>SUM(B2:F2)</f>
        <v/>
      </c>
      <c r="I2" s="29" t="inlineStr">
        <is>
          <t>Key Stats</t>
        </is>
      </c>
    </row>
    <row r="3">
      <c r="A3" s="30" t="inlineStr">
        <is>
          <t>2026-05</t>
        </is>
      </c>
      <c r="B3" s="31" t="n">
        <v>690</v>
      </c>
      <c r="C3" s="31" t="n">
        <v>380</v>
      </c>
      <c r="D3" s="31" t="n">
        <v>32</v>
      </c>
      <c r="E3" s="31" t="n">
        <v>15</v>
      </c>
      <c r="F3" s="31" t="n">
        <v>38</v>
      </c>
      <c r="G3" s="32">
        <f>SUM(B3:F3)</f>
        <v/>
      </c>
      <c r="I3" s="33" t="inlineStr">
        <is>
          <t>Next 12-Month Maturities ($T):</t>
        </is>
      </c>
      <c r="J3" s="34" t="n">
        <v>13.967</v>
      </c>
    </row>
    <row r="4">
      <c r="A4" s="26" t="inlineStr">
        <is>
          <t>2026-06</t>
        </is>
      </c>
      <c r="B4" s="27" t="n">
        <v>720</v>
      </c>
      <c r="C4" s="27" t="n">
        <v>610</v>
      </c>
      <c r="D4" s="27" t="n"/>
      <c r="E4" s="27" t="n">
        <v>25</v>
      </c>
      <c r="F4" s="27" t="n">
        <v>42</v>
      </c>
      <c r="G4" s="28">
        <f>SUM(B4:F4)</f>
        <v/>
      </c>
      <c r="I4" s="33" t="inlineStr">
        <is>
          <t>Peak Month:</t>
        </is>
      </c>
      <c r="J4" s="35" t="inlineStr">
        <is>
          <t>2026-12</t>
        </is>
      </c>
    </row>
    <row r="5">
      <c r="A5" s="30" t="inlineStr">
        <is>
          <t>2026-07</t>
        </is>
      </c>
      <c r="B5" s="31" t="n">
        <v>695</v>
      </c>
      <c r="C5" s="31" t="n">
        <v>490</v>
      </c>
      <c r="D5" s="31" t="n">
        <v>24</v>
      </c>
      <c r="E5" s="31" t="n">
        <v>20</v>
      </c>
      <c r="F5" s="31" t="n">
        <v>36</v>
      </c>
      <c r="G5" s="32">
        <f>SUM(B5:F5)</f>
        <v/>
      </c>
      <c r="I5" s="33" t="inlineStr">
        <is>
          <t>Peak Month Amount ($B):</t>
        </is>
      </c>
      <c r="J5" s="34" t="n">
        <v>1553</v>
      </c>
    </row>
    <row r="6">
      <c r="A6" s="26" t="inlineStr">
        <is>
          <t>2026-08</t>
        </is>
      </c>
      <c r="B6" s="27" t="n">
        <v>705</v>
      </c>
      <c r="C6" s="27" t="n">
        <v>420</v>
      </c>
      <c r="D6" s="27" t="n"/>
      <c r="E6" s="27" t="n">
        <v>12</v>
      </c>
      <c r="F6" s="27" t="n">
        <v>39</v>
      </c>
      <c r="G6" s="28">
        <f>SUM(B6:F6)</f>
        <v/>
      </c>
      <c r="I6" s="33" t="inlineStr">
        <is>
          <t>Avg Monthly ($B):</t>
        </is>
      </c>
      <c r="J6" s="34" t="n">
        <v>1269.7</v>
      </c>
    </row>
    <row r="7">
      <c r="A7" s="30" t="inlineStr">
        <is>
          <t>2026-09</t>
        </is>
      </c>
      <c r="B7" s="31" t="n">
        <v>730</v>
      </c>
      <c r="C7" s="31" t="n">
        <v>570</v>
      </c>
      <c r="D7" s="31" t="n">
        <v>30</v>
      </c>
      <c r="E7" s="31" t="n">
        <v>28</v>
      </c>
      <c r="F7" s="31" t="n">
        <v>44</v>
      </c>
      <c r="G7" s="32">
        <f>SUM(B7:F7)</f>
        <v/>
      </c>
      <c r="I7" s="33" t="inlineStr">
        <is>
          <t>Interest Cost @ 4.5% ($T/yr):</t>
        </is>
      </c>
      <c r="J7" s="34" t="n">
        <v>0.628515</v>
      </c>
    </row>
    <row r="8">
      <c r="A8" s="26" t="inlineStr">
        <is>
          <t>2026-10</t>
        </is>
      </c>
      <c r="B8" s="27" t="n">
        <v>680</v>
      </c>
      <c r="C8" s="27" t="n">
        <v>440</v>
      </c>
      <c r="D8" s="27" t="n"/>
      <c r="E8" s="27" t="n">
        <v>16</v>
      </c>
      <c r="F8" s="27" t="n">
        <v>37</v>
      </c>
      <c r="G8" s="28">
        <f>SUM(B8:F8)</f>
        <v/>
      </c>
      <c r="I8" s="33" t="inlineStr">
        <is>
          <t>Interest Cost @ 3.5% ($T/yr):</t>
        </is>
      </c>
      <c r="J8" s="34" t="n">
        <v>0.4888450000000001</v>
      </c>
    </row>
    <row r="9">
      <c r="A9" s="30" t="inlineStr">
        <is>
          <t>2026-11</t>
        </is>
      </c>
      <c r="B9" s="31" t="n">
        <v>715</v>
      </c>
      <c r="C9" s="31" t="n">
        <v>510</v>
      </c>
      <c r="D9" s="31" t="n">
        <v>26</v>
      </c>
      <c r="E9" s="31" t="n">
        <v>21</v>
      </c>
      <c r="F9" s="31" t="n">
        <v>41</v>
      </c>
      <c r="G9" s="32">
        <f>SUM(B9:F9)</f>
        <v/>
      </c>
    </row>
    <row r="10">
      <c r="A10" s="26" t="inlineStr">
        <is>
          <t>2026-12</t>
        </is>
      </c>
      <c r="B10" s="27" t="n">
        <v>760</v>
      </c>
      <c r="C10" s="27" t="n">
        <v>680</v>
      </c>
      <c r="D10" s="27" t="n">
        <v>35</v>
      </c>
      <c r="E10" s="27" t="n">
        <v>30</v>
      </c>
      <c r="F10" s="27" t="n">
        <v>48</v>
      </c>
      <c r="G10" s="28">
        <f>SUM(B10:F10)</f>
        <v/>
      </c>
    </row>
    <row r="11">
      <c r="A11" s="30" t="inlineStr">
        <is>
          <t>2027-01</t>
        </is>
      </c>
      <c r="B11" s="31" t="n">
        <v>670</v>
      </c>
      <c r="C11" s="31" t="n">
        <v>400</v>
      </c>
      <c r="D11" s="31" t="n"/>
      <c r="E11" s="31" t="n">
        <v>14</v>
      </c>
      <c r="F11" s="31" t="n">
        <v>34</v>
      </c>
      <c r="G11" s="32">
        <f>SUM(B11:F11)</f>
        <v/>
      </c>
    </row>
    <row r="12">
      <c r="A12" s="26" t="inlineStr">
        <is>
          <t>2027-02</t>
        </is>
      </c>
      <c r="B12" s="27" t="n">
        <v>660</v>
      </c>
      <c r="C12" s="27" t="n">
        <v>390</v>
      </c>
      <c r="D12" s="27" t="n">
        <v>22</v>
      </c>
      <c r="E12" s="27" t="n">
        <v>18</v>
      </c>
      <c r="F12" s="27" t="n">
        <v>33</v>
      </c>
      <c r="G12" s="28">
        <f>SUM(B12:F12)</f>
        <v/>
      </c>
    </row>
    <row r="13">
      <c r="A13" s="36" t="inlineStr">
        <is>
          <t>GRAND TOTAL</t>
        </is>
      </c>
      <c r="B13" s="24">
        <f>SUM(B2:B12)</f>
        <v/>
      </c>
      <c r="C13" s="24">
        <f>SUM(C2:C12)</f>
        <v/>
      </c>
      <c r="D13" s="24">
        <f>SUM(D2:D12)</f>
        <v/>
      </c>
      <c r="E13" s="24">
        <f>SUM(E2:E12)</f>
        <v/>
      </c>
      <c r="F13" s="24">
        <f>SUM(F2:F12)</f>
        <v/>
      </c>
      <c r="G13" s="24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2026-03-25T16:53:52Z</dcterms:created>
  <dcterms:modified xmlns:dcterms="http://purl.org/dc/terms/" xmlns:xsi="http://www.w3.org/2001/XMLSchema-instance" xsi:type="dcterms:W3CDTF">2026-03-25T16:53:52Z</dcterms:modified>
</cp:coreProperties>
</file>